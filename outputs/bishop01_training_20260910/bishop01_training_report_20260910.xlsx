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e5a02f895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训练汇总" sheetId="1" r:id="R9b1858872b174389"/>
    <x:sheet xmlns:r="http://schemas.openxmlformats.org/officeDocument/2006/relationships" name="训练数据" sheetId="2" r:id="R36ffa8fabf3a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000"/>
    <x:numFmt numFmtId="202" formatCode="0.0%"/>
  </x:numFmts>
  <x:fonts count="9">
    <x:font>
      <x:sz val="11"/>
      <x:name val="Carlito"/>
    </x:font>
    <x:font>
      <x:b/>
      <x:sz val="16"/>
      <x:color rgb="FF1F4E78"/>
      <x:name val="Arial"/>
    </x:font>
    <x:font>
      <x:b/>
      <x:sz val="11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222222"/>
      <x:name val="Arial"/>
    </x:font>
    <x:font>
      <x:b/>
      <x:sz val="10"/>
      <x:color rgb="FFC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>
      <x:bottom style="medium">
        <x:color rgb="FF1F4E78"/>
      </x:bottom>
    </x:border>
  </x:borders>
  <x:cellStyleXfs count="1">
    <x:xf numFmtId="0" fontId="0" fillId="0" borderId="0"/>
  </x:cellStyleXfs>
  <x:cellXfs count="4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201" fontId="2" fillId="2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201" fontId="3" fillId="2" borderId="0" xfId="0" applyNumberFormat="1" applyFont="1" applyFill="1" applyBorder="1"/>
    <x:xf numFmtId="0" fontId="3" fillId="3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c0af9a9c34d04" /><Relationship Type="http://schemas.openxmlformats.org/officeDocument/2006/relationships/theme" Target="/xl/theme/theme1.xml" Id="Rd299d7c142694bba" /><Relationship Type="http://schemas.openxmlformats.org/officeDocument/2006/relationships/sharedStrings" Target="/xl/sharedStrings.xml" Id="R149e15e12ddf4a27" /><Relationship Type="http://schemas.openxmlformats.org/officeDocument/2006/relationships/worksheet" Target="/xl/worksheets/sheet1.xml" Id="R9b1858872b174389" /><Relationship Type="http://schemas.openxmlformats.org/officeDocument/2006/relationships/worksheet" Target="/xl/worksheets/sheet2.xml" Id="R36ffa8fabf3a49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74e4a03b0f4f26" /><Relationship Type="http://schemas.openxmlformats.org/officeDocument/2006/relationships/chart" Target="/xl/drawings/charts/chart2.xml" Id="Rde4c9f6c8a524803" /><Relationship Type="http://schemas.openxmlformats.org/officeDocument/2006/relationships/chart" Target="/xl/drawings/charts/chart3.xml" Id="R153d68afc9df4e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Wrist前最大阻塞误差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Wrist前最大阻塞误差（°）</c:v>
          </c:tx>
          <c:spPr>
            <a:ln xmlns:a="http://schemas.openxmlformats.org/drawingml/2006/main" w="1905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'训练汇总'!$A$14:$A$17</c:f>
              <c:strCache>
                <c:ptCount val="0"/>
              </c:strCache>
            </c:strRef>
          </c:cat>
          <c:val>
            <c:numRef>
              <c:f>'训练汇总'!$B$14:$B$17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门限（°）</c:v>
          </c:tx>
          <c:spPr>
            <a:ln xmlns:a="http://schemas.openxmlformats.org/drawingml/2006/main"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'训练汇总'!$A$14:$A$17</c:f>
              <c:strCache>
                <c:ptCount val="0"/>
              </c:strCache>
            </c:strRef>
          </c:cat>
          <c:val>
            <c:numRef>
              <c:f>'训练汇总'!$C$14:$C$17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Replay次数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绝对误差（°）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Wrist后最大误差收敛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最终最大绝对误差（°）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'训练汇总'!$J$14:$J$16</c:f>
              <c:strCache>
                <c:ptCount val="0"/>
              </c:strCache>
            </c:strRef>
          </c:cat>
          <c:val>
            <c:numRef>
              <c:f>'训练汇总'!$K$14:$K$16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有效门限（°）</c:v>
          </c:tx>
          <c:spPr>
            <a:ln xmlns:a="http://schemas.openxmlformats.org/drawingml/2006/main"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'训练汇总'!$J$14:$J$16</c:f>
              <c:strCache>
                <c:ptCount val="0"/>
              </c:strCache>
            </c:strRef>
          </c:cat>
          <c:val>
            <c:numRef>
              <c:f>'训练汇总'!$L$14:$L$16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Replay次数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绝对误差（°）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Wrist后各关节绝对误差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shoulder_front</c:v>
          </c:tx>
          <c:spPr>
            <a:ln xmlns:a="http://schemas.openxmlformats.org/drawingml/2006/main" w="1905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'训练汇总'!$B$38:$B$40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shoulder_side</c:v>
          </c:tx>
          <c:spPr>
            <a:ln xmlns:a="http://schemas.openxmlformats.org/drawingml/2006/main" w="19050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'训练汇总'!$C$38:$C$40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shoulder_rotate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'训练汇总'!$D$38:$D$40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elbow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'训练汇总'!$E$38:$E$40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arm_roll</c:v>
          </c:tx>
          <c:spPr>
            <a:ln xmlns:a="http://schemas.openxmlformats.org/drawingml/2006/main" w="1905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'训练汇总'!$F$38:$F$40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wrist_side</c:v>
          </c:tx>
          <c:spPr>
            <a:ln xmlns:a="http://schemas.openxmlformats.org/drawingml/2006/main" w="19050">
              <a:solidFill>
                <a:srgbClr val="4BACC6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'训练汇总'!$G$38:$G$40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wrist</c:v>
          </c:tx>
          <c:spPr>
            <a:ln xmlns:a="http://schemas.openxmlformats.org/drawingml/2006/main" w="1905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'训练汇总'!$A$38:$A$40</c:f>
              <c:strCache>
                <c:ptCount val="0"/>
              </c:strCache>
            </c:strRef>
          </c:cat>
          <c:val>
            <c:numRef>
              <c:f>'训练汇总'!$H$38:$H$40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Replay次数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绝对误差（°）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74e4a03b0f4f26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4c9f6c8a524803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17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3d68afc9df4e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tageSummary" displayName="StageSummary" ref="A8:G10" headerRowCount="1" totalsRowCount="0" totalsRowShown="0">
  <x:tableColumns count="7">
    <x:tableColumn id="1" name="阶段"/>
    <x:tableColumn id="2" name="Replay范围"/>
    <x:tableColumn id="3" name="次数"/>
    <x:tableColumn id="4" name="结果"/>
    <x:tableColumn id="5" name="起始最大误差（°）"/>
    <x:tableColumn id="6" name="结束最大误差（°）"/>
    <x:tableColumn id="7" name="降低比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playRuns" displayName="ReplayRuns" ref="A2:K9" headerRowCount="1" totalsRowCount="0" totalsRowShown="0">
  <x:tableColumns count="11">
    <x:tableColumn id="1" name="次数"/>
    <x:tableColumn id="2" name="开始时间"/>
    <x:tableColumn id="3" name="耗时（秒）"/>
    <x:tableColumn id="4" name="返回码"/>
    <x:tableColumn id="5" name="阶段"/>
    <x:tableColumn id="6" name="Wrist已执行"/>
    <x:tableColumn id="7" name="Wrist前检查"/>
    <x:tableColumn id="8" name="Wrist前最大阻塞误差（°）"/>
    <x:tableColumn id="9" name="最终状态"/>
    <x:tableColumn id="10" name="最终最大绝对误差（°）"/>
    <x:tableColumn id="11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inalJointErrors" displayName="FinalJointErrors" ref="A12:H15" headerRowCount="1" totalsRowCount="0" totalsRowShown="0">
  <x:tableColumns count="8">
    <x:tableColumn id="1" name="次数"/>
    <x:tableColumn id="2" name="shoulder_front"/>
    <x:tableColumn id="3" name="shoulder_side"/>
    <x:tableColumn id="4" name="shoulder_rotate"/>
    <x:tableColumn id="5" name="elbow"/>
    <x:tableColumn id="6" name="arm_roll"/>
    <x:tableColumn id="7" name="wrist_side"/>
    <x:tableColumn id="8" name="wr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bd58740dfa4b9f" /><Relationship Type="http://schemas.openxmlformats.org/officeDocument/2006/relationships/table" Target="/xl/tables/table1.xml" Id="R77a69d79b3f648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8059a625424860" /><Relationship Type="http://schemas.openxmlformats.org/officeDocument/2006/relationships/table" Target="/xl/tables/table3.xml" Id="Rf440eebcfbf74f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16" hidden="0" customWidth="1"/>
    <x:col min="5" max="5" width="23" hidden="0" customWidth="1"/>
    <x:col min="6" max="6" width="23" hidden="0" customWidth="1"/>
    <x:col min="7" max="7" width="18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>
      <x:c r="A2" s="18" t="str">
        <x:v>bishop01 训练收敛报告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</x:row>
    <x:row r="5">
      <x:c r="A5" s="21" t="str">
        <x:v>Capture次数</x:v>
      </x:c>
      <x:c r="B5" s="21" t="n">
        <x:v>1</x:v>
      </x:c>
      <x:c r="C5" s="18"/>
      <x:c r="D5" s="21" t="str">
        <x:v>Replay次数</x:v>
      </x:c>
      <x:c r="E5" s="21" t="n">
        <x:v>7</x:v>
      </x:c>
      <x:c r="F5" s="18"/>
      <x:c r="G5" s="21" t="str">
        <x:v>总耗时（秒）</x:v>
      </x:c>
      <x:c r="H5" s="22" t="n">
        <x:f>SUM('训练数据'!C3:C9)</x:f>
        <x:v>452.83199999999994</x:v>
      </x:c>
      <x:c r="I5" s="18"/>
      <x:c r="J5" s="23" t="str">
        <x:v>最终状态</x:v>
      </x:c>
      <x:c r="K5" s="23" t="str">
        <x:v>Validated</x:v>
      </x:c>
      <x:c r="L5" s="19"/>
      <x:c r="M5" s="19"/>
      <x:c r="N5" s="19"/>
      <x:c r="O5" s="19"/>
      <x:c r="P5" s="19"/>
      <x:c r="Q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</x:row>
    <x:row r="8">
      <x:c r="A8" s="30" t="str">
        <x:v>阶段</x:v>
      </x:c>
      <x:c r="B8" s="30" t="str">
        <x:v>Replay范围</x:v>
      </x:c>
      <x:c r="C8" s="30" t="str">
        <x:v>次数</x:v>
      </x:c>
      <x:c r="D8" s="30" t="str">
        <x:v>结果</x:v>
      </x:c>
      <x:c r="E8" s="30" t="str">
        <x:v>起始最大误差（°）</x:v>
      </x:c>
      <x:c r="F8" s="30" t="str">
        <x:v>结束最大误差（°）</x:v>
      </x:c>
      <x:c r="G8" s="30" t="str">
        <x:v>降低比例</x:v>
      </x:c>
      <x:c r="H8" s="19"/>
      <x:c r="I8" s="19"/>
      <x:c r="J8" s="19"/>
      <x:c r="K8" s="19"/>
      <x:c r="L8" s="19"/>
      <x:c r="M8" s="19"/>
      <x:c r="N8" s="19"/>
      <x:c r="O8" s="19"/>
      <x:c r="P8" s="19"/>
      <x:c r="Q8" s="19"/>
    </x:row>
    <x:row r="9">
      <x:c r="A9" s="19" t="str">
        <x:v>Wrist前姿态收敛</x:v>
      </x:c>
      <x:c r="B9" s="19" t="str">
        <x:v>1–4</x:v>
      </x:c>
      <x:c r="C9" s="19" t="n">
        <x:v>4</x:v>
      </x:c>
      <x:c r="D9" s="19" t="str">
        <x:v>第5次通过</x:v>
      </x:c>
      <x:c r="E9" s="24" t="n">
        <x:v>1.8796953803441891</x:v>
      </x:c>
      <x:c r="F9" s="24" t="n">
        <x:v>0.5027087531021085</x:v>
      </x:c>
      <x:c r="G9" s="25" t="n">
        <x:f>1-F9/E9</x:f>
        <x:v>0.7325583930466126</x:v>
      </x:c>
      <x:c r="H9" s="19"/>
      <x:c r="I9" s="19"/>
      <x:c r="J9" s="19"/>
      <x:c r="K9" s="19"/>
      <x:c r="L9" s="19"/>
      <x:c r="M9" s="19"/>
      <x:c r="N9" s="19"/>
      <x:c r="O9" s="19"/>
      <x:c r="P9" s="19"/>
      <x:c r="Q9" s="19"/>
    </x:row>
    <x:row r="10">
      <x:c r="A10" s="19" t="str">
        <x:v>Wrist后保持收敛</x:v>
      </x:c>
      <x:c r="B10" s="19" t="str">
        <x:v>5–7</x:v>
      </x:c>
      <x:c r="C10" s="19" t="n">
        <x:v>3</x:v>
      </x:c>
      <x:c r="D10" s="19" t="str">
        <x:v>第7次验证通过</x:v>
      </x:c>
      <x:c r="E10" s="24" t="n">
        <x:v>1.70484083004457</x:v>
      </x:c>
      <x:c r="F10" s="24" t="n">
        <x:v>0.4808589779472377</x:v>
      </x:c>
      <x:c r="G10" s="25" t="n">
        <x:f>1-F10/E10</x:f>
        <x:v>0.7179449427342337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</x:row>
    <x:row r="13">
      <x:c r="A13" s="32" t="str">
        <x:v>次数</x:v>
      </x:c>
      <x:c r="B13" s="32" t="str">
        <x:v>Wrist前最大阻塞误差（°）</x:v>
      </x:c>
      <x:c r="C13" s="32" t="str">
        <x:v>门限（°）</x:v>
      </x:c>
      <x:c r="D13" s="33"/>
      <x:c r="E13" s="33"/>
      <x:c r="F13" s="33"/>
      <x:c r="G13" s="33"/>
      <x:c r="H13" s="33"/>
      <x:c r="I13" s="33"/>
      <x:c r="J13" s="32" t="str">
        <x:v>次数</x:v>
      </x:c>
      <x:c r="K13" s="32" t="str">
        <x:v>最终最大绝对误差（°）</x:v>
      </x:c>
      <x:c r="L13" s="32" t="str">
        <x:v>有效门限（°）</x:v>
      </x:c>
      <x:c r="M13" s="19"/>
      <x:c r="N13" s="19"/>
      <x:c r="O13" s="19"/>
      <x:c r="P13" s="19"/>
      <x:c r="Q13" s="19"/>
    </x:row>
    <x:row r="14">
      <x:c r="A14" s="34" t="n">
        <x:f>'训练数据'!K19</x:f>
        <x:v>1</x:v>
      </x:c>
      <x:c r="B14" s="34" t="n">
        <x:f>'训练数据'!L19</x:f>
        <x:v>1.8796953803441891</x:v>
      </x:c>
      <x:c r="C14" s="34" t="n">
        <x:f>'训练数据'!M19</x:f>
        <x:v>0.5</x:v>
      </x:c>
      <x:c r="D14" s="33"/>
      <x:c r="E14" s="33"/>
      <x:c r="F14" s="33"/>
      <x:c r="G14" s="33"/>
      <x:c r="H14" s="33"/>
      <x:c r="I14" s="33"/>
      <x:c r="J14" s="34" t="n">
        <x:f>'训练数据'!K13</x:f>
        <x:v>5</x:v>
      </x:c>
      <x:c r="K14" s="34" t="n">
        <x:f>'训练数据'!L13</x:f>
        <x:v>1.70484083004457</x:v>
      </x:c>
      <x:c r="L14" s="34" t="n">
        <x:f>'训练数据'!M13</x:f>
        <x:v>0.511</x:v>
      </x:c>
      <x:c r="M14" s="19"/>
      <x:c r="N14" s="19"/>
      <x:c r="O14" s="19"/>
      <x:c r="P14" s="19"/>
      <x:c r="Q14" s="19"/>
    </x:row>
    <x:row r="15">
      <x:c r="A15" s="34" t="n">
        <x:f>'训练数据'!K20</x:f>
        <x:v>2</x:v>
      </x:c>
      <x:c r="B15" s="34" t="n">
        <x:f>'训练数据'!L20</x:f>
        <x:v>1.1584171587070875</x:v>
      </x:c>
      <x:c r="C15" s="34" t="n">
        <x:f>'训练数据'!M20</x:f>
        <x:v>0.5</x:v>
      </x:c>
      <x:c r="D15" s="33"/>
      <x:c r="E15" s="33"/>
      <x:c r="F15" s="33"/>
      <x:c r="G15" s="33"/>
      <x:c r="H15" s="33"/>
      <x:c r="I15" s="33"/>
      <x:c r="J15" s="34" t="n">
        <x:f>'训练数据'!K14</x:f>
        <x:v>6</x:v>
      </x:c>
      <x:c r="K15" s="34" t="n">
        <x:f>'训练数据'!L14</x:f>
        <x:v>1.09284392758038</x:v>
      </x:c>
      <x:c r="L15" s="34" t="n">
        <x:f>'训练数据'!M14</x:f>
        <x:v>0.511</x:v>
      </x:c>
      <x:c r="M15" s="19"/>
      <x:c r="N15" s="19"/>
      <x:c r="O15" s="19"/>
      <x:c r="P15" s="19"/>
      <x:c r="Q15" s="19"/>
    </x:row>
    <x:row r="16">
      <x:c r="A16" s="34" t="n">
        <x:f>'训练数据'!K21</x:f>
        <x:v>3</x:v>
      </x:c>
      <x:c r="B16" s="34" t="n">
        <x:f>'训练数据'!L21</x:f>
        <x:v>0.5027087531021085</x:v>
      </x:c>
      <x:c r="C16" s="34" t="n">
        <x:f>'训练数据'!M21</x:f>
        <x:v>0.5</x:v>
      </x:c>
      <x:c r="D16" s="33"/>
      <x:c r="E16" s="33"/>
      <x:c r="F16" s="33"/>
      <x:c r="G16" s="33"/>
      <x:c r="H16" s="33"/>
      <x:c r="I16" s="33"/>
      <x:c r="J16" s="34" t="n">
        <x:f>'训练数据'!K15</x:f>
        <x:v>7</x:v>
      </x:c>
      <x:c r="K16" s="34" t="n">
        <x:f>'训练数据'!L15</x:f>
        <x:v>0.4808589779472377</x:v>
      </x:c>
      <x:c r="L16" s="34" t="n">
        <x:f>'训练数据'!M15</x:f>
        <x:v>0.511</x:v>
      </x:c>
      <x:c r="M16" s="19"/>
      <x:c r="N16" s="19"/>
      <x:c r="O16" s="19"/>
      <x:c r="P16" s="19"/>
      <x:c r="Q16" s="19"/>
    </x:row>
    <x:row r="17">
      <x:c r="A17" s="34" t="n">
        <x:f>'训练数据'!K22</x:f>
        <x:v>4</x:v>
      </x:c>
      <x:c r="B17" s="34" t="n">
        <x:f>'训练数据'!L22</x:f>
        <x:v>0.5027087531021085</x:v>
      </x:c>
      <x:c r="C17" s="34" t="n">
        <x:f>'训练数据'!M22</x:f>
        <x:v>0.5</x:v>
      </x:c>
      <x:c r="D17" s="33"/>
      <x:c r="E17" s="33"/>
      <x:c r="F17" s="33"/>
      <x:c r="G17" s="33"/>
      <x:c r="H17" s="33"/>
      <x:c r="I17" s="33"/>
      <x:c r="J17" s="33"/>
      <x:c r="K17" s="33"/>
      <x:c r="L17" s="33"/>
      <x:c r="M17" s="19"/>
      <x:c r="N17" s="19"/>
      <x:c r="O17" s="19"/>
      <x:c r="P17" s="19"/>
      <x:c r="Q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</x:row>
    <x:row r="37">
      <x:c r="A37" s="35" t="str">
        <x:v>次数</x:v>
      </x:c>
      <x:c r="B37" s="35" t="str">
        <x:v>shoulder_front</x:v>
      </x:c>
      <x:c r="C37" s="35" t="str">
        <x:v>shoulder_side</x:v>
      </x:c>
      <x:c r="D37" s="35" t="str">
        <x:v>shoulder_rotate</x:v>
      </x:c>
      <x:c r="E37" s="35" t="str">
        <x:v>elbow</x:v>
      </x:c>
      <x:c r="F37" s="35" t="str">
        <x:v>arm_roll</x:v>
      </x:c>
      <x:c r="G37" s="35" t="str">
        <x:v>wrist_side</x:v>
      </x:c>
      <x:c r="H37" s="35" t="str">
        <x:v>wrist</x:v>
      </x:c>
      <x:c r="I37" s="19"/>
      <x:c r="J37" s="19"/>
      <x:c r="K37" s="19"/>
      <x:c r="L37" s="19"/>
      <x:c r="M37" s="19"/>
      <x:c r="N37" s="19"/>
      <x:c r="O37" s="19"/>
      <x:c r="P37" s="19"/>
      <x:c r="Q37" s="19"/>
    </x:row>
    <x:row r="38">
      <x:c r="A38" s="33" t="n">
        <x:f>'训练数据'!A19</x:f>
        <x:v>5</x:v>
      </x:c>
      <x:c r="B38" s="34" t="n">
        <x:f>'训练数据'!B19</x:f>
        <x:v>0.7431348269811423</x:v>
      </x:c>
      <x:c r="C38" s="34" t="n">
        <x:f>'训练数据'!C19</x:f>
        <x:v>0.5901420046674417</x:v>
      </x:c>
      <x:c r="D38" s="34" t="n">
        <x:f>'训练数据'!D19</x:f>
        <x:v>1.661129326903781</x:v>
      </x:c>
      <x:c r="E38" s="34" t="n">
        <x:f>'训练数据'!E19</x:f>
        <x:v>1.70484083004457</x:v>
      </x:c>
      <x:c r="F38" s="34" t="n">
        <x:f>'训练数据'!F19</x:f>
        <x:v>0.6775547656652648</x:v>
      </x:c>
      <x:c r="G38" s="34" t="n">
        <x:f>'训练数据'!G19</x:f>
        <x:v>0.7868497452165164</x:v>
      </x:c>
      <x:c r="H38" s="34" t="n">
        <x:f>'训练数据'!H19</x:f>
        <x:v>0.04371321068808161</x:v>
      </x:c>
      <x:c r="I38" s="19"/>
      <x:c r="J38" s="19"/>
      <x:c r="K38" s="19"/>
      <x:c r="L38" s="19"/>
      <x:c r="M38" s="19"/>
      <x:c r="N38" s="19"/>
      <x:c r="O38" s="19"/>
      <x:c r="P38" s="19"/>
      <x:c r="Q38" s="19"/>
    </x:row>
    <x:row r="39">
      <x:c r="A39" s="33" t="n">
        <x:f>'训练数据'!A20</x:f>
        <x:v>6</x:v>
      </x:c>
      <x:c r="B39" s="34" t="n">
        <x:f>'训练数据'!B20</x:f>
        <x:v>0.4371389370699861</x:v>
      </x:c>
      <x:c r="C39" s="34" t="n">
        <x:f>'训练数据'!C20</x:f>
        <x:v>0.21857971381874805</x:v>
      </x:c>
      <x:c r="D39" s="34" t="n">
        <x:f>'训练数据'!D20</x:f>
        <x:v>0.8087080581078497</x:v>
      </x:c>
      <x:c r="E39" s="34" t="n">
        <x:f>'训练数据'!E20</x:f>
        <x:v>0.08742812892345572</x:v>
      </x:c>
      <x:c r="F39" s="34" t="n">
        <x:f>'训练数据'!F20</x:f>
        <x:v>0.0655698160321224</x:v>
      </x:c>
      <x:c r="G39" s="34" t="n">
        <x:f>'训练数据'!G20</x:f>
        <x:v>0.10928473426749652</x:v>
      </x:c>
      <x:c r="H39" s="34" t="n">
        <x:f>'训练数据'!H20</x:f>
        <x:v>1.09284392758038</x:v>
      </x:c>
      <x:c r="I39" s="19"/>
      <x:c r="J39" s="19"/>
      <x:c r="K39" s="19"/>
      <x:c r="L39" s="19"/>
      <x:c r="M39" s="19"/>
      <x:c r="N39" s="19"/>
      <x:c r="O39" s="19"/>
      <x:c r="P39" s="19"/>
      <x:c r="Q39" s="19"/>
    </x:row>
    <x:row r="40">
      <x:c r="A40" s="33" t="n">
        <x:f>'训练数据'!A21</x:f>
        <x:v>7</x:v>
      </x:c>
      <x:c r="B40" s="34" t="n">
        <x:f>'训练数据'!B21</x:f>
        <x:v>0.17485284275232643</x:v>
      </x:c>
      <x:c r="C40" s="34" t="n">
        <x:f>'训练数据'!C21</x:f>
        <x:v>0.21857971381874805</x:v>
      </x:c>
      <x:c r="D40" s="34" t="n">
        <x:f>'训练数据'!D21</x:f>
        <x:v>0.4808589779472377</x:v>
      </x:c>
      <x:c r="E40" s="34" t="n">
        <x:f>'训练数据'!E21</x:f>
        <x:v>0.1529979449555781</x:v>
      </x:c>
      <x:c r="F40" s="34" t="n">
        <x:f>'训练数据'!F21</x:f>
        <x:v>0.13115329244258483</x:v>
      </x:c>
      <x:c r="G40" s="34" t="n">
        <x:f>'训练数据'!G21</x:f>
        <x:v>0.10928473426749652</x:v>
      </x:c>
      <x:c r="H40" s="34" t="n">
        <x:f>'训练数据'!H21</x:f>
        <x:v>0.24042265878444882</x:v>
      </x:c>
      <x:c r="I40" s="19"/>
      <x:c r="J40" s="19"/>
      <x:c r="K40" s="19"/>
      <x:c r="L40" s="19"/>
      <x:c r="M40" s="19"/>
      <x:c r="N40" s="19"/>
      <x:c r="O40" s="19"/>
      <x:c r="P40" s="19"/>
      <x:c r="Q40" s="19"/>
    </x:row>
  </x:sheetData>
  <x:pageMargins left="0.7" right="0.7" top="0.75" bottom="0.75" header="0.3" footer="0.3"/>
  <x:drawing xmlns:r="http://schemas.openxmlformats.org/officeDocument/2006/relationships" r:id="R59bd58740dfa4b9f"/>
  <x:tableParts count="1">
    <x:tablePart xmlns:r="http://schemas.openxmlformats.org/officeDocument/2006/relationships" r:id="R77a69d79b3f6486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25" hidden="0" customWidth="1"/>
    <x:col min="11" max="11" width="44" hidden="0" customWidth="1"/>
  </x:cols>
  <x:sheetData>
    <x:row r="2">
      <x:c r="A2" s="30" t="str">
        <x:v>次数</x:v>
      </x:c>
      <x:c r="B2" s="30" t="str">
        <x:v>开始时间</x:v>
      </x:c>
      <x:c r="C2" s="30" t="str">
        <x:v>耗时（秒）</x:v>
      </x:c>
      <x:c r="D2" s="30" t="str">
        <x:v>返回码</x:v>
      </x:c>
      <x:c r="E2" s="30" t="str">
        <x:v>阶段</x:v>
      </x:c>
      <x:c r="F2" s="30" t="str">
        <x:v>Wrist已执行</x:v>
      </x:c>
      <x:c r="G2" s="30" t="str">
        <x:v>Wrist前检查</x:v>
      </x:c>
      <x:c r="H2" s="30" t="str">
        <x:v>Wrist前最大阻塞误差（°）</x:v>
      </x:c>
      <x:c r="I2" s="30" t="str">
        <x:v>最终状态</x:v>
      </x:c>
      <x:c r="J2" s="30" t="str">
        <x:v>最终最大绝对误差（°）</x:v>
      </x:c>
      <x:c r="K2" s="30" t="str">
        <x:v>说明</x:v>
      </x:c>
      <x:c r="L2" s="19"/>
      <x:c r="M2" s="19"/>
    </x:row>
    <x:row r="3">
      <x:c r="A3" s="19" t="n">
        <x:v>1</x:v>
      </x:c>
      <x:c r="B3" s="27" t="n">
        <x:v>46275.81167824074</x:v>
      </x:c>
      <x:c r="C3" s="24" t="n">
        <x:v>59.386</x:v>
      </x:c>
      <x:c r="D3" s="42" t="n">
        <x:v>1</x:v>
      </x:c>
      <x:c r="E3" s="19" t="str">
        <x:v>Wrist前姿态训练</x:v>
      </x:c>
      <x:c r="F3" s="19" t="str">
        <x:v>否</x:v>
      </x:c>
      <x:c r="G3" s="19" t="str">
        <x:v>未通过</x:v>
      </x:c>
      <x:c r="H3" s="24" t="n">
        <x:v>1.8796953803441891</x:v>
      </x:c>
      <x:c r="I3" s="19" t="str"/>
      <x:c r="J3" s="24" t="str"/>
      <x:c r="K3" s="36" t="str">
        <x:v>shoulder_front、arm_roll超限</x:v>
      </x:c>
      <x:c r="L3" s="19"/>
      <x:c r="M3" s="19"/>
    </x:row>
    <x:row r="4">
      <x:c r="A4" s="19" t="n">
        <x:v>2</x:v>
      </x:c>
      <x:c r="B4" s="27" t="n">
        <x:v>46275.81355324074</x:v>
      </x:c>
      <x:c r="C4" s="24" t="n">
        <x:v>59.091</x:v>
      </x:c>
      <x:c r="D4" s="42" t="n">
        <x:v>1</x:v>
      </x:c>
      <x:c r="E4" s="19" t="str">
        <x:v>Wrist前姿态训练</x:v>
      </x:c>
      <x:c r="F4" s="19" t="str">
        <x:v>否</x:v>
      </x:c>
      <x:c r="G4" s="19" t="str">
        <x:v>未通过</x:v>
      </x:c>
      <x:c r="H4" s="24" t="n">
        <x:v>1.1584171587070875</x:v>
      </x:c>
      <x:c r="I4" s="19" t="str"/>
      <x:c r="J4" s="24" t="str"/>
      <x:c r="K4" s="36" t="str">
        <x:v>shoulder_front超限</x:v>
      </x:c>
      <x:c r="L4" s="19"/>
      <x:c r="M4" s="19"/>
    </x:row>
    <x:row r="5">
      <x:c r="A5" s="19" t="n">
        <x:v>3</x:v>
      </x:c>
      <x:c r="B5" s="27" t="n">
        <x:v>46275.81633101852</x:v>
      </x:c>
      <x:c r="C5" s="24" t="n">
        <x:v>59.413</x:v>
      </x:c>
      <x:c r="D5" s="42" t="n">
        <x:v>1</x:v>
      </x:c>
      <x:c r="E5" s="19" t="str">
        <x:v>Wrist前姿态训练</x:v>
      </x:c>
      <x:c r="F5" s="19" t="str">
        <x:v>否</x:v>
      </x:c>
      <x:c r="G5" s="19" t="str">
        <x:v>未通过</x:v>
      </x:c>
      <x:c r="H5" s="24" t="n">
        <x:v>0.5027087531021085</x:v>
      </x:c>
      <x:c r="I5" s="19" t="str"/>
      <x:c r="J5" s="24" t="str"/>
      <x:c r="K5" s="36" t="str">
        <x:v>距0.5°门限仅0.0027°</x:v>
      </x:c>
      <x:c r="L5" s="19"/>
      <x:c r="M5" s="19"/>
    </x:row>
    <x:row r="6">
      <x:c r="A6" s="19" t="n">
        <x:v>4</x:v>
      </x:c>
      <x:c r="B6" s="27" t="n">
        <x:v>46275.81811342593</x:v>
      </x:c>
      <x:c r="C6" s="24" t="n">
        <x:v>59.131</x:v>
      </x:c>
      <x:c r="D6" s="42" t="n">
        <x:v>1</x:v>
      </x:c>
      <x:c r="E6" s="19" t="str">
        <x:v>Wrist前姿态训练</x:v>
      </x:c>
      <x:c r="F6" s="19" t="str">
        <x:v>否</x:v>
      </x:c>
      <x:c r="G6" s="19" t="str">
        <x:v>未通过</x:v>
      </x:c>
      <x:c r="H6" s="24" t="n">
        <x:v>0.5027087531021085</x:v>
      </x:c>
      <x:c r="I6" s="19" t="str"/>
      <x:c r="J6" s="24" t="str"/>
      <x:c r="K6" s="36" t="str">
        <x:v>编码器量化边界；随后加入0.011°半计数余量</x:v>
      </x:c>
      <x:c r="L6" s="19"/>
      <x:c r="M6" s="19"/>
    </x:row>
    <x:row r="7">
      <x:c r="A7" s="19" t="n">
        <x:v>5</x:v>
      </x:c>
      <x:c r="B7" s="27" t="n">
        <x:v>46275.82171296296</x:v>
      </x:c>
      <x:c r="C7" s="24" t="n">
        <x:v>72.117</x:v>
      </x:c>
      <x:c r="D7" s="42" t="n">
        <x:v>1</x:v>
      </x:c>
      <x:c r="E7" s="19" t="str">
        <x:v>Wrist保持训练</x:v>
      </x:c>
      <x:c r="F7" s="19" t="str">
        <x:v>是</x:v>
      </x:c>
      <x:c r="G7" s="19" t="str">
        <x:v>通过</x:v>
      </x:c>
      <x:c r="H7" s="24" t="n">
        <x:v>0</x:v>
      </x:c>
      <x:c r="I7" s="19" t="str">
        <x:v>训练中</x:v>
      </x:c>
      <x:c r="J7" s="24" t="n">
        <x:v>1.70484083004457</x:v>
      </x:c>
      <x:c r="K7" s="36" t="str">
        <x:v>首次完成wrist运动，开始学习诱发偏差</x:v>
      </x:c>
      <x:c r="L7" s="19"/>
      <x:c r="M7" s="19"/>
    </x:row>
    <x:row r="8">
      <x:c r="A8" s="19" t="n">
        <x:v>6</x:v>
      </x:c>
      <x:c r="B8" s="27" t="n">
        <x:v>46275.82362268519</x:v>
      </x:c>
      <x:c r="C8" s="24" t="n">
        <x:v>71.948</x:v>
      </x:c>
      <x:c r="D8" s="42" t="n">
        <x:v>1</x:v>
      </x:c>
      <x:c r="E8" s="19" t="str">
        <x:v>Wrist保持训练</x:v>
      </x:c>
      <x:c r="F8" s="19" t="str">
        <x:v>是</x:v>
      </x:c>
      <x:c r="G8" s="19" t="str">
        <x:v>通过</x:v>
      </x:c>
      <x:c r="H8" s="24" t="n">
        <x:v>0</x:v>
      </x:c>
      <x:c r="I8" s="19" t="str">
        <x:v>训练中</x:v>
      </x:c>
      <x:c r="J8" s="24" t="n">
        <x:v>1.09284392758038</x:v>
      </x:c>
      <x:c r="K8" s="36" t="str">
        <x:v>仅shoulder_rotate和wrist超限</x:v>
      </x:c>
      <x:c r="L8" s="19"/>
      <x:c r="M8" s="19"/>
    </x:row>
    <x:row r="9">
      <x:c r="A9" s="37" t="n">
        <x:v>7</x:v>
      </x:c>
      <x:c r="B9" s="38" t="n">
        <x:v>46275.827511574076</x:v>
      </x:c>
      <x:c r="C9" s="39" t="n">
        <x:v>71.746</x:v>
      </x:c>
      <x:c r="D9" s="37" t="n">
        <x:v>0</x:v>
      </x:c>
      <x:c r="E9" s="37" t="str">
        <x:v>最终验证</x:v>
      </x:c>
      <x:c r="F9" s="37" t="str">
        <x:v>是</x:v>
      </x:c>
      <x:c r="G9" s="37" t="str">
        <x:v>通过</x:v>
      </x:c>
      <x:c r="H9" s="39" t="n">
        <x:v>0</x:v>
      </x:c>
      <x:c r="I9" s="37" t="str">
        <x:v>已验证</x:v>
      </x:c>
      <x:c r="J9" s="39" t="n">
        <x:v>0.4808589779472377</x:v>
      </x:c>
      <x:c r="K9" s="40" t="str">
        <x:v>7个关节全部通过</x:v>
      </x:c>
      <x:c r="L9" s="19"/>
      <x:c r="M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</x:row>
    <x:row r="12">
      <x:c r="A12" s="30" t="str">
        <x:v>次数</x:v>
      </x:c>
      <x:c r="B12" s="30" t="str">
        <x:v>shoulder_front</x:v>
      </x:c>
      <x:c r="C12" s="30" t="str">
        <x:v>shoulder_side</x:v>
      </x:c>
      <x:c r="D12" s="30" t="str">
        <x:v>shoulder_rotate</x:v>
      </x:c>
      <x:c r="E12" s="30" t="str">
        <x:v>elbow</x:v>
      </x:c>
      <x:c r="F12" s="30" t="str">
        <x:v>arm_roll</x:v>
      </x:c>
      <x:c r="G12" s="30" t="str">
        <x:v>wrist_side</x:v>
      </x:c>
      <x:c r="H12" s="30" t="str">
        <x:v>wrist</x:v>
      </x:c>
      <x:c r="I12" s="19"/>
      <x:c r="J12" s="19"/>
      <x:c r="K12" s="30" t="str">
        <x:v>次数</x:v>
      </x:c>
      <x:c r="L12" s="30" t="str">
        <x:v>最终最大绝对误差（°）</x:v>
      </x:c>
      <x:c r="M12" s="30" t="str">
        <x:v>有效门限（°）</x:v>
      </x:c>
    </x:row>
    <x:row r="13">
      <x:c r="A13" s="19" t="n">
        <x:v>5</x:v>
      </x:c>
      <x:c r="B13" s="24" t="n">
        <x:v>-0.7431348269811423</x:v>
      </x:c>
      <x:c r="C13" s="24" t="n">
        <x:v>-0.5901420046674417</x:v>
      </x:c>
      <x:c r="D13" s="24" t="n">
        <x:v>1.661129326903781</x:v>
      </x:c>
      <x:c r="E13" s="24" t="n">
        <x:v>1.70484083004457</x:v>
      </x:c>
      <x:c r="F13" s="24" t="n">
        <x:v>0.6775547656652648</x:v>
      </x:c>
      <x:c r="G13" s="24" t="n">
        <x:v>0.7868497452165164</x:v>
      </x:c>
      <x:c r="H13" s="24" t="n">
        <x:v>0.04371321068808161</x:v>
      </x:c>
      <x:c r="I13" s="19"/>
      <x:c r="J13" s="19"/>
      <x:c r="K13" s="19" t="n">
        <x:v>5</x:v>
      </x:c>
      <x:c r="L13" s="24" t="n">
        <x:v>1.70484083004457</x:v>
      </x:c>
      <x:c r="M13" s="24" t="n">
        <x:v>0.511</x:v>
      </x:c>
    </x:row>
    <x:row r="14">
      <x:c r="A14" s="19" t="n">
        <x:v>6</x:v>
      </x:c>
      <x:c r="B14" s="24" t="n">
        <x:v>-0.4371389370699861</x:v>
      </x:c>
      <x:c r="C14" s="24" t="n">
        <x:v>-0.21857971381874805</x:v>
      </x:c>
      <x:c r="D14" s="24" t="n">
        <x:v>0.8087080581078497</x:v>
      </x:c>
      <x:c r="E14" s="24" t="n">
        <x:v>0.08742812892345572</x:v>
      </x:c>
      <x:c r="F14" s="24" t="n">
        <x:v>0.0655698160321224</x:v>
      </x:c>
      <x:c r="G14" s="24" t="n">
        <x:v>0.10928473426749652</x:v>
      </x:c>
      <x:c r="H14" s="24" t="n">
        <x:v>1.09284392758038</x:v>
      </x:c>
      <x:c r="I14" s="19"/>
      <x:c r="J14" s="19"/>
      <x:c r="K14" s="19" t="n">
        <x:v>6</x:v>
      </x:c>
      <x:c r="L14" s="24" t="n">
        <x:v>1.09284392758038</x:v>
      </x:c>
      <x:c r="M14" s="24" t="n">
        <x:v>0.511</x:v>
      </x:c>
    </x:row>
    <x:row r="15">
      <x:c r="A15" s="19" t="n">
        <x:v>7</x:v>
      </x:c>
      <x:c r="B15" s="24" t="n">
        <x:v>-0.17485284275232643</x:v>
      </x:c>
      <x:c r="C15" s="24" t="n">
        <x:v>-0.21857971381874805</x:v>
      </x:c>
      <x:c r="D15" s="24" t="n">
        <x:v>0.4808589779472377</x:v>
      </x:c>
      <x:c r="E15" s="24" t="n">
        <x:v>0.1529979449555781</x:v>
      </x:c>
      <x:c r="F15" s="24" t="n">
        <x:v>-0.13115329244258483</x:v>
      </x:c>
      <x:c r="G15" s="24" t="n">
        <x:v>0.10928473426749652</x:v>
      </x:c>
      <x:c r="H15" s="24" t="n">
        <x:v>0.24042265878444882</x:v>
      </x:c>
      <x:c r="I15" s="19"/>
      <x:c r="J15" s="19"/>
      <x:c r="K15" s="19" t="n">
        <x:v>7</x:v>
      </x:c>
      <x:c r="L15" s="24" t="n">
        <x:v>0.4808589779472377</x:v>
      </x:c>
      <x:c r="M15" s="24" t="n">
        <x:v>0.511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</x:row>
    <x:row r="18">
      <x:c r="A18" s="30" t="str">
        <x:v>次数</x:v>
      </x:c>
      <x:c r="B18" s="30" t="str">
        <x:v>shoulder_front</x:v>
      </x:c>
      <x:c r="C18" s="30" t="str">
        <x:v>shoulder_side</x:v>
      </x:c>
      <x:c r="D18" s="30" t="str">
        <x:v>shoulder_rotate</x:v>
      </x:c>
      <x:c r="E18" s="30" t="str">
        <x:v>elbow</x:v>
      </x:c>
      <x:c r="F18" s="30" t="str">
        <x:v>arm_roll</x:v>
      </x:c>
      <x:c r="G18" s="30" t="str">
        <x:v>wrist_side</x:v>
      </x:c>
      <x:c r="H18" s="30" t="str">
        <x:v>wrist</x:v>
      </x:c>
      <x:c r="I18" s="30" t="str">
        <x:v>最大绝对误差</x:v>
      </x:c>
      <x:c r="J18" s="19"/>
      <x:c r="K18" s="30" t="str">
        <x:v>次数</x:v>
      </x:c>
      <x:c r="L18" s="30" t="str">
        <x:v>Wrist前最大阻塞误差（°）</x:v>
      </x:c>
      <x:c r="M18" s="30" t="str">
        <x:v>当时门限（°）</x:v>
      </x:c>
    </x:row>
    <x:row r="19">
      <x:c r="A19" s="19" t="n">
        <x:v>5</x:v>
      </x:c>
      <x:c r="B19" s="24" t="n">
        <x:f>ABS(B13)</x:f>
        <x:v>0.7431348269811423</x:v>
      </x:c>
      <x:c r="C19" s="24" t="n">
        <x:f>ABS(C13)</x:f>
        <x:v>0.5901420046674417</x:v>
      </x:c>
      <x:c r="D19" s="24" t="n">
        <x:f>ABS(D13)</x:f>
        <x:v>1.661129326903781</x:v>
      </x:c>
      <x:c r="E19" s="24" t="n">
        <x:f>ABS(E13)</x:f>
        <x:v>1.70484083004457</x:v>
      </x:c>
      <x:c r="F19" s="24" t="n">
        <x:f>ABS(F13)</x:f>
        <x:v>0.6775547656652648</x:v>
      </x:c>
      <x:c r="G19" s="24" t="n">
        <x:f>ABS(G13)</x:f>
        <x:v>0.7868497452165164</x:v>
      </x:c>
      <x:c r="H19" s="24" t="n">
        <x:f>ABS(H13)</x:f>
        <x:v>0.04371321068808161</x:v>
      </x:c>
      <x:c r="I19" s="24" t="n">
        <x:f>MAX(B19:H19)</x:f>
        <x:v>1.70484083004457</x:v>
      </x:c>
      <x:c r="J19" s="19"/>
      <x:c r="K19" s="19" t="n">
        <x:v>1</x:v>
      </x:c>
      <x:c r="L19" s="24" t="n">
        <x:v>1.8796953803441891</x:v>
      </x:c>
      <x:c r="M19" s="24" t="n">
        <x:v>0.5</x:v>
      </x:c>
    </x:row>
    <x:row r="20">
      <x:c r="A20" s="19" t="n">
        <x:v>6</x:v>
      </x:c>
      <x:c r="B20" s="24" t="n">
        <x:f>ABS(B14)</x:f>
        <x:v>0.4371389370699861</x:v>
      </x:c>
      <x:c r="C20" s="24" t="n">
        <x:f>ABS(C14)</x:f>
        <x:v>0.21857971381874805</x:v>
      </x:c>
      <x:c r="D20" s="24" t="n">
        <x:f>ABS(D14)</x:f>
        <x:v>0.8087080581078497</x:v>
      </x:c>
      <x:c r="E20" s="24" t="n">
        <x:f>ABS(E14)</x:f>
        <x:v>0.08742812892345572</x:v>
      </x:c>
      <x:c r="F20" s="24" t="n">
        <x:f>ABS(F14)</x:f>
        <x:v>0.0655698160321224</x:v>
      </x:c>
      <x:c r="G20" s="24" t="n">
        <x:f>ABS(G14)</x:f>
        <x:v>0.10928473426749652</x:v>
      </x:c>
      <x:c r="H20" s="24" t="n">
        <x:f>ABS(H14)</x:f>
        <x:v>1.09284392758038</x:v>
      </x:c>
      <x:c r="I20" s="24" t="n">
        <x:f>MAX(B20:H20)</x:f>
        <x:v>1.09284392758038</x:v>
      </x:c>
      <x:c r="J20" s="19"/>
      <x:c r="K20" s="19" t="n">
        <x:v>2</x:v>
      </x:c>
      <x:c r="L20" s="24" t="n">
        <x:v>1.1584171587070875</x:v>
      </x:c>
      <x:c r="M20" s="24" t="n">
        <x:v>0.5</x:v>
      </x:c>
    </x:row>
    <x:row r="21">
      <x:c r="A21" s="19" t="n">
        <x:v>7</x:v>
      </x:c>
      <x:c r="B21" s="24" t="n">
        <x:f>ABS(B15)</x:f>
        <x:v>0.17485284275232643</x:v>
      </x:c>
      <x:c r="C21" s="24" t="n">
        <x:f>ABS(C15)</x:f>
        <x:v>0.21857971381874805</x:v>
      </x:c>
      <x:c r="D21" s="24" t="n">
        <x:f>ABS(D15)</x:f>
        <x:v>0.4808589779472377</x:v>
      </x:c>
      <x:c r="E21" s="24" t="n">
        <x:f>ABS(E15)</x:f>
        <x:v>0.1529979449555781</x:v>
      </x:c>
      <x:c r="F21" s="24" t="n">
        <x:f>ABS(F15)</x:f>
        <x:v>0.13115329244258483</x:v>
      </x:c>
      <x:c r="G21" s="24" t="n">
        <x:f>ABS(G15)</x:f>
        <x:v>0.10928473426749652</x:v>
      </x:c>
      <x:c r="H21" s="24" t="n">
        <x:f>ABS(H15)</x:f>
        <x:v>0.24042265878444882</x:v>
      </x:c>
      <x:c r="I21" s="24" t="n">
        <x:f>MAX(B21:H21)</x:f>
        <x:v>0.4808589779472377</x:v>
      </x:c>
      <x:c r="J21" s="19"/>
      <x:c r="K21" s="19" t="n">
        <x:v>3</x:v>
      </x:c>
      <x:c r="L21" s="24" t="n">
        <x:v>0.5027087531021085</x:v>
      </x:c>
      <x:c r="M21" s="24" t="n">
        <x:v>0.5</x:v>
      </x:c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 t="n">
        <x:v>4</x:v>
      </x:c>
      <x:c r="L22" s="24" t="n">
        <x:v>0.5027087531021085</x:v>
      </x:c>
      <x:c r="M22" s="24" t="n">
        <x:v>0.5</x:v>
      </x:c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</x:row>
    <x:row r="25">
      <x:c r="A25" s="36" t="str">
        <x:v>数据来源</x:v>
      </x:c>
      <x:c r="B25" s="36" t="str">
        <x:v>2026-09-10用户提供的7份 bishop01 Replay控制器日志</x:v>
      </x:c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</x:row>
    <x:row r="26">
      <x:c r="A26" s="36" t="str">
        <x:v>姿态来源</x:v>
      </x:c>
      <x:c r="B26" s="36" t="str">
        <x:v>bishop01 于2026-09-10 19:20:31重新Capture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</x:row>
    <x:row r="27">
      <x:c r="A27" s="36" t="str">
        <x:v>误差定义</x:v>
      </x:c>
      <x:c r="B27" s="36" t="str">
        <x:v>目标角度减反馈角度；图表使用绝对值</x:v>
      </x:c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</x:row>
  </x:sheetData>
  <x:pageMargins left="0.7" right="0.7" top="0.75" bottom="0.75" header="0.3" footer="0.3"/>
  <x:tableParts count="2">
    <x:tablePart xmlns:r="http://schemas.openxmlformats.org/officeDocument/2006/relationships" r:id="Re58059a625424860"/>
    <x:tablePart xmlns:r="http://schemas.openxmlformats.org/officeDocument/2006/relationships" r:id="Rf440eebcfbf74ffa"/>
  </x:tableParts>
</x:worksheet>
</file>